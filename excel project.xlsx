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nura\Downloads\"/>
    </mc:Choice>
  </mc:AlternateContent>
  <bookViews>
    <workbookView xWindow="0" yWindow="0" windowWidth="23040" windowHeight="9072" activeTab="2"/>
  </bookViews>
  <sheets>
    <sheet name="Raw Data" sheetId="5" r:id="rId1"/>
    <sheet name="Cleaned Data" sheetId="2" r:id="rId2"/>
    <sheet name="Visualisation" sheetId="6" r:id="rId3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0" i="2" l="1"/>
  <c r="J29" i="2"/>
  <c r="J28" i="2"/>
  <c r="J27" i="2"/>
  <c r="J26" i="2"/>
  <c r="J25" i="2"/>
  <c r="J24" i="2"/>
  <c r="J23" i="2"/>
  <c r="J22" i="2"/>
  <c r="J21" i="2"/>
  <c r="J20" i="2"/>
  <c r="J19" i="2"/>
  <c r="J18" i="2"/>
  <c r="J17" i="2"/>
  <c r="J16" i="2"/>
  <c r="J15" i="2"/>
  <c r="J14" i="2"/>
  <c r="J13" i="2"/>
  <c r="J12" i="2"/>
  <c r="J11" i="2"/>
  <c r="J10" i="2"/>
  <c r="J9" i="2"/>
  <c r="J8" i="2"/>
  <c r="J7" i="2"/>
  <c r="J6" i="2"/>
  <c r="J5" i="2"/>
  <c r="J4" i="2"/>
  <c r="J3" i="2"/>
  <c r="I33" i="5" l="1"/>
  <c r="I32" i="5"/>
  <c r="I31" i="5"/>
  <c r="I30" i="5"/>
  <c r="I29" i="5"/>
  <c r="I28" i="5"/>
  <c r="I27" i="5"/>
  <c r="I26" i="5"/>
  <c r="I25" i="5"/>
  <c r="I24" i="5"/>
  <c r="I23" i="5"/>
  <c r="I22" i="5"/>
  <c r="I21" i="5"/>
  <c r="I20" i="5"/>
  <c r="I19" i="5"/>
  <c r="I18" i="5"/>
  <c r="I17" i="5"/>
  <c r="I16" i="5"/>
  <c r="I15" i="5"/>
  <c r="I14" i="5"/>
  <c r="I13" i="5"/>
  <c r="I12" i="5"/>
  <c r="I11" i="5"/>
  <c r="I10" i="5"/>
  <c r="I9" i="5"/>
  <c r="I8" i="5"/>
  <c r="I7" i="5"/>
  <c r="I6" i="5"/>
  <c r="I5" i="5"/>
  <c r="I4" i="5"/>
  <c r="I3" i="5"/>
</calcChain>
</file>

<file path=xl/sharedStrings.xml><?xml version="1.0" encoding="utf-8"?>
<sst xmlns="http://schemas.openxmlformats.org/spreadsheetml/2006/main" count="281" uniqueCount="134">
  <si>
    <t>Date</t>
  </si>
  <si>
    <t>Contact</t>
  </si>
  <si>
    <t>Revenue</t>
  </si>
  <si>
    <t>Profit</t>
  </si>
  <si>
    <t>Profit Margin</t>
  </si>
  <si>
    <t>Client</t>
  </si>
  <si>
    <t>Department</t>
  </si>
  <si>
    <t>AMAZON.COM, INC. (XNAS:AMZN)</t>
  </si>
  <si>
    <t>TESLA, INC. (XNAS:TSLA)</t>
  </si>
  <si>
    <t>NETFLIX, INC. (XNAS:NFLX)</t>
  </si>
  <si>
    <t>THE PROCTER &amp; GAMBLE COMPANY (XNYS:PG)</t>
  </si>
  <si>
    <t>THE GOLDMAN SACHS GROUP, INC. (XNYS:GS)</t>
  </si>
  <si>
    <t>JPMORGAN CHASE &amp; CO. (XNYS:JPM)</t>
  </si>
  <si>
    <t>MORGAN STANLEY (XNYS:MS)</t>
  </si>
  <si>
    <t>CITIGROUP INC. (XNYS:C)</t>
  </si>
  <si>
    <t>BANK OF AMERICA CORPORATION (XNYS:BAC)</t>
  </si>
  <si>
    <t>WALMART INC. (XNYS:WMT)</t>
  </si>
  <si>
    <t>TARGET CORPORATION (XNYS:TGT)</t>
  </si>
  <si>
    <t>COSTCO WHOLESALE CORPORATION (XNAS:COST)</t>
  </si>
  <si>
    <t>MCDONALD'S CORPORATION (XNYS:MCD)</t>
  </si>
  <si>
    <t>EXXON MOBIL CORPORATION (XNYS:XOM)</t>
  </si>
  <si>
    <t>VERIZON COMMUNICATIONS INC. (XNYS:VZ)</t>
  </si>
  <si>
    <t>THE HOME DEPOT, INC. (XNYS:HD)</t>
  </si>
  <si>
    <t>CISCO SYSTEMS, INC. (XNAS:CSCO)</t>
  </si>
  <si>
    <t>CHEVRON CORPORATION (XNYS:CVX)</t>
  </si>
  <si>
    <t>AT&amp;T INC. (XNYS:T)</t>
  </si>
  <si>
    <t>INTEL CORPORATION (XNAS:INTC)</t>
  </si>
  <si>
    <t>GENERAL MOTORS COMPANY (XNYS:GM)</t>
  </si>
  <si>
    <t>MICROSOFT CORPORATION (XNAS:MSFT)</t>
  </si>
  <si>
    <t>COMCAST CORPORATION (XNAS:CMCSA)</t>
  </si>
  <si>
    <t>DELL TECHNOLOGIES INC. (XNYS:DELL)</t>
  </si>
  <si>
    <t>JOHNSON &amp; JOHNSON (XNYS:JNJ)</t>
  </si>
  <si>
    <t>FEDEX CORPORATION (XNYS:FDX)</t>
  </si>
  <si>
    <t>GENERAL ELECTRIC COMPANY (XNYS:GE)</t>
  </si>
  <si>
    <t>LOCKHEED MARTIN CORPORATION (XNYS:LMT)</t>
  </si>
  <si>
    <t>Nyla Novak</t>
  </si>
  <si>
    <t>Kylee Townsend</t>
  </si>
  <si>
    <t>Nora Rollins</t>
  </si>
  <si>
    <t>Lucia Mckay</t>
  </si>
  <si>
    <t>Mik Naam</t>
  </si>
  <si>
    <t xml:space="preserve">     Bill SmITH</t>
  </si>
  <si>
    <t>KEN Singh</t>
  </si>
  <si>
    <t xml:space="preserve">  Harley        Fritz</t>
  </si>
  <si>
    <t>David    Rasmussen</t>
  </si>
  <si>
    <t>IVAN HINEY</t>
  </si>
  <si>
    <t>JONha Ma</t>
  </si>
  <si>
    <t xml:space="preserve">     Jordan Boone</t>
  </si>
  <si>
    <t>Payment</t>
  </si>
  <si>
    <t>Card</t>
  </si>
  <si>
    <t>PayPal</t>
  </si>
  <si>
    <t>Check</t>
  </si>
  <si>
    <t>Transfer</t>
  </si>
  <si>
    <t>BRENDAN Wallace</t>
  </si>
  <si>
    <t xml:space="preserve">     Conor Wise</t>
  </si>
  <si>
    <t>Steven     MIChael</t>
  </si>
  <si>
    <t>JoSE   Roach</t>
  </si>
  <si>
    <t>Franklin WRIGT</t>
  </si>
  <si>
    <t xml:space="preserve">   Alia       Thornton</t>
  </si>
  <si>
    <t>Denzel        Flores</t>
  </si>
  <si>
    <t>Bruno CordOVA</t>
  </si>
  <si>
    <t>jaylynn   napp</t>
  </si>
  <si>
    <t>Bruce RICH</t>
  </si>
  <si>
    <t xml:space="preserve">     Arturo Moore</t>
  </si>
  <si>
    <t>Bryce     Carpenter</t>
  </si>
  <si>
    <t>Jaidyn ANDERSEN</t>
  </si>
  <si>
    <t>MARK WALM</t>
  </si>
  <si>
    <t>HARRY LEE</t>
  </si>
  <si>
    <t>JOSH JOHNSON</t>
  </si>
  <si>
    <t>Cloud Tech_Texas</t>
  </si>
  <si>
    <t>Strategy_New York</t>
  </si>
  <si>
    <t>Operations_Florida</t>
  </si>
  <si>
    <t>Big Data_California</t>
  </si>
  <si>
    <t xml:space="preserve">amazon.com, inc. </t>
  </si>
  <si>
    <t xml:space="preserve">tesla, inc. </t>
  </si>
  <si>
    <t xml:space="preserve">netflix, inc. </t>
  </si>
  <si>
    <t xml:space="preserve">the procter &amp; gamble company </t>
  </si>
  <si>
    <t xml:space="preserve">the goldman sachs group, inc. </t>
  </si>
  <si>
    <t xml:space="preserve">jpmorgan chase &amp; co. </t>
  </si>
  <si>
    <t xml:space="preserve">morgan stanley </t>
  </si>
  <si>
    <t xml:space="preserve">citigroup inc. </t>
  </si>
  <si>
    <t xml:space="preserve">bank of america corporation </t>
  </si>
  <si>
    <t xml:space="preserve">walmart inc. </t>
  </si>
  <si>
    <t xml:space="preserve">target corporation </t>
  </si>
  <si>
    <t xml:space="preserve">costco wholesale corporation </t>
  </si>
  <si>
    <t xml:space="preserve">mcdonald's corporation </t>
  </si>
  <si>
    <t xml:space="preserve">exxon mobil corporation </t>
  </si>
  <si>
    <t xml:space="preserve">verizon communications inc. </t>
  </si>
  <si>
    <t xml:space="preserve">the home depot, inc. </t>
  </si>
  <si>
    <t xml:space="preserve">cisco systems, inc. </t>
  </si>
  <si>
    <t xml:space="preserve">chevron corporation </t>
  </si>
  <si>
    <t xml:space="preserve">at&amp;t inc. </t>
  </si>
  <si>
    <t xml:space="preserve">intel corporation </t>
  </si>
  <si>
    <t xml:space="preserve">general motors company </t>
  </si>
  <si>
    <t xml:space="preserve">microsoft corporation </t>
  </si>
  <si>
    <t xml:space="preserve">comcast corporation </t>
  </si>
  <si>
    <t xml:space="preserve">dell technologies inc. </t>
  </si>
  <si>
    <t xml:space="preserve">johnson &amp; johnson </t>
  </si>
  <si>
    <t xml:space="preserve">fedex corporation </t>
  </si>
  <si>
    <t xml:space="preserve">general electric company </t>
  </si>
  <si>
    <t xml:space="preserve">lockheed martin corporation </t>
  </si>
  <si>
    <t>Bill Smith</t>
  </si>
  <si>
    <t>Ken Singh</t>
  </si>
  <si>
    <t>Harley Fritz</t>
  </si>
  <si>
    <t>David Rasmussen</t>
  </si>
  <si>
    <t>Ivan Hiney</t>
  </si>
  <si>
    <t>Jonha Ma</t>
  </si>
  <si>
    <t>Jordan Boone</t>
  </si>
  <si>
    <t>Brendan Wallace</t>
  </si>
  <si>
    <t>Conor Wise</t>
  </si>
  <si>
    <t>Steven Michael</t>
  </si>
  <si>
    <t>Jose Roach</t>
  </si>
  <si>
    <t>Franklin Wrigt</t>
  </si>
  <si>
    <t>Alia Thornton</t>
  </si>
  <si>
    <t>Denzel Flores</t>
  </si>
  <si>
    <t>Bruno Cordova</t>
  </si>
  <si>
    <t>Jaylynn Napp</t>
  </si>
  <si>
    <t>Bruce Rich</t>
  </si>
  <si>
    <t>Arturo Moore</t>
  </si>
  <si>
    <t>Bryce Carpenter</t>
  </si>
  <si>
    <t>Jaidyn Andersen</t>
  </si>
  <si>
    <t>Mark Walm</t>
  </si>
  <si>
    <t>Harry Lee</t>
  </si>
  <si>
    <t>Josh Johnson</t>
  </si>
  <si>
    <t>Region</t>
  </si>
  <si>
    <t>Cloud Tech</t>
  </si>
  <si>
    <t>Texas</t>
  </si>
  <si>
    <t>Strategy</t>
  </si>
  <si>
    <t>New York</t>
  </si>
  <si>
    <t>Operations</t>
  </si>
  <si>
    <t>Florida</t>
  </si>
  <si>
    <t>Big Data</t>
  </si>
  <si>
    <t>California</t>
  </si>
  <si>
    <t>Nan</t>
  </si>
  <si>
    <t>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</si>
</sst>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6" formatCode="&quot;$&quot;#,##0_);[Red]\(&quot;$&quot;#,##0\)"/>
    <numFmt numFmtId="164" formatCode="0.0%"/>
    <numFmt numFmtId="165" formatCode="[$-409]d\-mmm\-yy;@"/>
  </numFmts>
  <fonts count="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">
    <xf numFmtId="0" fontId="0" fillId="0" borderId="0" xfId="0"/>
    <xf numFmtId="6" fontId="0" fillId="0" borderId="0" xfId="0" applyNumberFormat="1" applyAlignment="1">
      <alignment horizontal="center"/>
    </xf>
    <xf numFmtId="164" fontId="0" fillId="0" borderId="0" xfId="1" applyNumberFormat="1" applyFont="1"/>
    <xf numFmtId="0" fontId="0" fillId="0" borderId="0" xfId="0" applyAlignment="1">
      <alignment horizontal="center"/>
    </xf>
    <xf numFmtId="14" fontId="0" fillId="0" borderId="0" xfId="0" applyNumberFormat="1"/>
    <xf numFmtId="0" fontId="0" fillId="0" borderId="0" xfId="0" applyAlignment="1">
      <alignment horizontal="left"/>
    </xf>
    <xf numFmtId="0" fontId="2" fillId="2" borderId="0" xfId="0" applyFont="1" applyFill="1" applyAlignment="1">
      <alignment horizontal="left"/>
    </xf>
    <xf numFmtId="0" fontId="2" fillId="2" borderId="0" xfId="0" applyFont="1" applyFill="1"/>
    <xf numFmtId="0" fontId="0" fillId="2" borderId="0" xfId="0" applyFill="1"/>
    <xf numFmtId="6" fontId="0" fillId="0" borderId="0" xfId="0" applyNumberFormat="1" applyAlignment="1">
      <alignment horizontal="left"/>
    </xf>
    <xf numFmtId="164" fontId="0" fillId="0" borderId="0" xfId="1" applyNumberFormat="1" applyFont="1" applyAlignment="1">
      <alignment horizontal="left"/>
    </xf>
    <xf numFmtId="165" fontId="2" fillId="2" borderId="0" xfId="0" applyNumberFormat="1" applyFont="1" applyFill="1" applyAlignment="1">
      <alignment horizontal="left"/>
    </xf>
    <xf numFmtId="165" fontId="0" fillId="0" borderId="0" xfId="0" applyNumberFormat="1" applyAlignment="1">
      <alignment horizontal="left"/>
    </xf>
    <xf numFmtId="165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vs</a:t>
            </a:r>
            <a:r>
              <a:rPr lang="en-US" baseline="0"/>
              <a:t> Date</a:t>
            </a:r>
            <a:endParaRPr lang="en-US"/>
          </a:p>
        </c:rich>
      </c:tx>
      <c:layout/>
      <c:overlay val="0"/>
      <c:spPr>
        <a:solidFill>
          <a:schemeClr val="accent2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'Cleaned Data'!$H$2</c:f>
              <c:strCache>
                <c:ptCount val="1"/>
                <c:pt idx="0">
                  <c:v>Revenue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'Cleaned Data'!$B$3:$B$42</c:f>
              <c:numCache>
                <c:formatCode>[$-409]d\-mmm\-yy;@</c:formatCode>
                <c:ptCount val="40"/>
                <c:pt idx="0">
                  <c:v>45076</c:v>
                </c:pt>
                <c:pt idx="1">
                  <c:v>45076</c:v>
                </c:pt>
                <c:pt idx="2">
                  <c:v>45076</c:v>
                </c:pt>
                <c:pt idx="3">
                  <c:v>45076</c:v>
                </c:pt>
                <c:pt idx="4">
                  <c:v>45076</c:v>
                </c:pt>
                <c:pt idx="5">
                  <c:v>45077</c:v>
                </c:pt>
                <c:pt idx="6">
                  <c:v>45077</c:v>
                </c:pt>
                <c:pt idx="7">
                  <c:v>45077</c:v>
                </c:pt>
                <c:pt idx="8">
                  <c:v>45077</c:v>
                </c:pt>
                <c:pt idx="9">
                  <c:v>45077</c:v>
                </c:pt>
                <c:pt idx="10">
                  <c:v>45077</c:v>
                </c:pt>
                <c:pt idx="11">
                  <c:v>45077</c:v>
                </c:pt>
                <c:pt idx="12">
                  <c:v>45077</c:v>
                </c:pt>
                <c:pt idx="13">
                  <c:v>45078</c:v>
                </c:pt>
                <c:pt idx="14">
                  <c:v>45078</c:v>
                </c:pt>
                <c:pt idx="15">
                  <c:v>45078</c:v>
                </c:pt>
                <c:pt idx="16">
                  <c:v>45078</c:v>
                </c:pt>
                <c:pt idx="17">
                  <c:v>45078</c:v>
                </c:pt>
                <c:pt idx="18">
                  <c:v>45078</c:v>
                </c:pt>
                <c:pt idx="19">
                  <c:v>45078</c:v>
                </c:pt>
                <c:pt idx="20">
                  <c:v>45078</c:v>
                </c:pt>
                <c:pt idx="21">
                  <c:v>45079</c:v>
                </c:pt>
                <c:pt idx="22">
                  <c:v>45079</c:v>
                </c:pt>
                <c:pt idx="23">
                  <c:v>45079</c:v>
                </c:pt>
                <c:pt idx="24">
                  <c:v>45079</c:v>
                </c:pt>
                <c:pt idx="25">
                  <c:v>45079</c:v>
                </c:pt>
                <c:pt idx="26">
                  <c:v>45079</c:v>
                </c:pt>
                <c:pt idx="27">
                  <c:v>45079</c:v>
                </c:pt>
              </c:numCache>
            </c:numRef>
          </c:cat>
          <c:val>
            <c:numRef>
              <c:f>'Cleaned Data'!$H$3:$H$42</c:f>
              <c:numCache>
                <c:formatCode>"$"#,##0_);[Red]\("$"#,##0\)</c:formatCode>
                <c:ptCount val="40"/>
                <c:pt idx="0">
                  <c:v>4500</c:v>
                </c:pt>
                <c:pt idx="1">
                  <c:v>3800</c:v>
                </c:pt>
                <c:pt idx="2">
                  <c:v>3712.5</c:v>
                </c:pt>
                <c:pt idx="3">
                  <c:v>0</c:v>
                </c:pt>
                <c:pt idx="4">
                  <c:v>5000</c:v>
                </c:pt>
                <c:pt idx="5">
                  <c:v>6100</c:v>
                </c:pt>
                <c:pt idx="6">
                  <c:v>4625</c:v>
                </c:pt>
                <c:pt idx="7">
                  <c:v>3800</c:v>
                </c:pt>
                <c:pt idx="8">
                  <c:v>3600</c:v>
                </c:pt>
                <c:pt idx="9">
                  <c:v>5100</c:v>
                </c:pt>
                <c:pt idx="10">
                  <c:v>4750</c:v>
                </c:pt>
                <c:pt idx="11">
                  <c:v>6000</c:v>
                </c:pt>
                <c:pt idx="12">
                  <c:v>4500</c:v>
                </c:pt>
                <c:pt idx="13">
                  <c:v>0</c:v>
                </c:pt>
                <c:pt idx="14">
                  <c:v>3712.5</c:v>
                </c:pt>
                <c:pt idx="15">
                  <c:v>4950</c:v>
                </c:pt>
                <c:pt idx="16">
                  <c:v>4750</c:v>
                </c:pt>
                <c:pt idx="17">
                  <c:v>7320</c:v>
                </c:pt>
                <c:pt idx="18">
                  <c:v>5087.5</c:v>
                </c:pt>
                <c:pt idx="19">
                  <c:v>4500</c:v>
                </c:pt>
                <c:pt idx="20">
                  <c:v>4250</c:v>
                </c:pt>
                <c:pt idx="21">
                  <c:v>5250</c:v>
                </c:pt>
                <c:pt idx="22">
                  <c:v>6500</c:v>
                </c:pt>
                <c:pt idx="23">
                  <c:v>7500</c:v>
                </c:pt>
                <c:pt idx="24">
                  <c:v>5500</c:v>
                </c:pt>
                <c:pt idx="25">
                  <c:v>4625</c:v>
                </c:pt>
                <c:pt idx="26">
                  <c:v>4500</c:v>
                </c:pt>
                <c:pt idx="27">
                  <c:v>5400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78C-4324-8EEC-8BD29D732B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58130832"/>
        <c:axId val="858124176"/>
      </c:lineChart>
      <c:dateAx>
        <c:axId val="858130832"/>
        <c:scaling>
          <c:orientation val="minMax"/>
        </c:scaling>
        <c:delete val="0"/>
        <c:axPos val="b"/>
        <c:numFmt formatCode="[$-409]d\-mmm\-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8124176"/>
        <c:crosses val="autoZero"/>
        <c:auto val="1"/>
        <c:lblOffset val="100"/>
        <c:baseTimeUnit val="days"/>
      </c:dateAx>
      <c:valAx>
        <c:axId val="858124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_);[Red]\(&quot;$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81308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vs Client</a:t>
            </a:r>
            <a:r>
              <a:rPr lang="en-US" baseline="0"/>
              <a:t> </a:t>
            </a:r>
            <a:endParaRPr lang="en-US"/>
          </a:p>
        </c:rich>
      </c:tx>
      <c:layout/>
      <c:overlay val="0"/>
      <c:spPr>
        <a:solidFill>
          <a:schemeClr val="accent2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'Cleaned Data'!$H$2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'Cleaned Data'!$C$3:$C$42</c:f>
              <c:strCache>
                <c:ptCount val="28"/>
                <c:pt idx="0">
                  <c:v>amazon.com, inc. </c:v>
                </c:pt>
                <c:pt idx="1">
                  <c:v>tesla, inc. </c:v>
                </c:pt>
                <c:pt idx="2">
                  <c:v>netflix, inc. </c:v>
                </c:pt>
                <c:pt idx="3">
                  <c:v>the procter &amp; gamble company </c:v>
                </c:pt>
                <c:pt idx="4">
                  <c:v>the goldman sachs group, inc. </c:v>
                </c:pt>
                <c:pt idx="5">
                  <c:v>jpmorgan chase &amp; co. </c:v>
                </c:pt>
                <c:pt idx="6">
                  <c:v>morgan stanley </c:v>
                </c:pt>
                <c:pt idx="7">
                  <c:v>citigroup inc. </c:v>
                </c:pt>
                <c:pt idx="8">
                  <c:v>bank of america corporation </c:v>
                </c:pt>
                <c:pt idx="9">
                  <c:v>walmart inc. </c:v>
                </c:pt>
                <c:pt idx="10">
                  <c:v>target corporation </c:v>
                </c:pt>
                <c:pt idx="11">
                  <c:v>costco wholesale corporation </c:v>
                </c:pt>
                <c:pt idx="12">
                  <c:v>mcdonald's corporation </c:v>
                </c:pt>
                <c:pt idx="13">
                  <c:v>exxon mobil corporation </c:v>
                </c:pt>
                <c:pt idx="14">
                  <c:v>verizon communications inc. </c:v>
                </c:pt>
                <c:pt idx="15">
                  <c:v>the home depot, inc. </c:v>
                </c:pt>
                <c:pt idx="16">
                  <c:v>cisco systems, inc. </c:v>
                </c:pt>
                <c:pt idx="17">
                  <c:v>chevron corporation </c:v>
                </c:pt>
                <c:pt idx="18">
                  <c:v>at&amp;t inc. </c:v>
                </c:pt>
                <c:pt idx="19">
                  <c:v>intel corporation </c:v>
                </c:pt>
                <c:pt idx="20">
                  <c:v>general motors company </c:v>
                </c:pt>
                <c:pt idx="21">
                  <c:v>microsoft corporation </c:v>
                </c:pt>
                <c:pt idx="22">
                  <c:v>comcast corporation </c:v>
                </c:pt>
                <c:pt idx="23">
                  <c:v>dell technologies inc. </c:v>
                </c:pt>
                <c:pt idx="24">
                  <c:v>johnson &amp; johnson </c:v>
                </c:pt>
                <c:pt idx="25">
                  <c:v>fedex corporation </c:v>
                </c:pt>
                <c:pt idx="26">
                  <c:v>general electric company </c:v>
                </c:pt>
                <c:pt idx="27">
                  <c:v>lockheed martin corporation </c:v>
                </c:pt>
              </c:strCache>
            </c:strRef>
          </c:cat>
          <c:val>
            <c:numRef>
              <c:f>'Cleaned Data'!$H$3:$H$42</c:f>
              <c:numCache>
                <c:formatCode>"$"#,##0_);[Red]\("$"#,##0\)</c:formatCode>
                <c:ptCount val="40"/>
                <c:pt idx="0">
                  <c:v>4500</c:v>
                </c:pt>
                <c:pt idx="1">
                  <c:v>3800</c:v>
                </c:pt>
                <c:pt idx="2">
                  <c:v>3712.5</c:v>
                </c:pt>
                <c:pt idx="3">
                  <c:v>0</c:v>
                </c:pt>
                <c:pt idx="4">
                  <c:v>5000</c:v>
                </c:pt>
                <c:pt idx="5">
                  <c:v>6100</c:v>
                </c:pt>
                <c:pt idx="6">
                  <c:v>4625</c:v>
                </c:pt>
                <c:pt idx="7">
                  <c:v>3800</c:v>
                </c:pt>
                <c:pt idx="8">
                  <c:v>3600</c:v>
                </c:pt>
                <c:pt idx="9">
                  <c:v>5100</c:v>
                </c:pt>
                <c:pt idx="10">
                  <c:v>4750</c:v>
                </c:pt>
                <c:pt idx="11">
                  <c:v>6000</c:v>
                </c:pt>
                <c:pt idx="12">
                  <c:v>4500</c:v>
                </c:pt>
                <c:pt idx="13">
                  <c:v>0</c:v>
                </c:pt>
                <c:pt idx="14">
                  <c:v>3712.5</c:v>
                </c:pt>
                <c:pt idx="15">
                  <c:v>4950</c:v>
                </c:pt>
                <c:pt idx="16">
                  <c:v>4750</c:v>
                </c:pt>
                <c:pt idx="17">
                  <c:v>7320</c:v>
                </c:pt>
                <c:pt idx="18">
                  <c:v>5087.5</c:v>
                </c:pt>
                <c:pt idx="19">
                  <c:v>4500</c:v>
                </c:pt>
                <c:pt idx="20">
                  <c:v>4250</c:v>
                </c:pt>
                <c:pt idx="21">
                  <c:v>5250</c:v>
                </c:pt>
                <c:pt idx="22">
                  <c:v>6500</c:v>
                </c:pt>
                <c:pt idx="23">
                  <c:v>7500</c:v>
                </c:pt>
                <c:pt idx="24">
                  <c:v>5500</c:v>
                </c:pt>
                <c:pt idx="25">
                  <c:v>4625</c:v>
                </c:pt>
                <c:pt idx="26">
                  <c:v>4500</c:v>
                </c:pt>
                <c:pt idx="27">
                  <c:v>5400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8C-4166-B609-9292552D67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09771744"/>
        <c:axId val="709782976"/>
      </c:barChart>
      <c:catAx>
        <c:axId val="709771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9782976"/>
        <c:crosses val="autoZero"/>
        <c:auto val="1"/>
        <c:lblAlgn val="ctr"/>
        <c:lblOffset val="100"/>
        <c:noMultiLvlLbl val="0"/>
      </c:catAx>
      <c:valAx>
        <c:axId val="709782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_);[Red]\(&quot;$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97717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vs Region</a:t>
            </a:r>
          </a:p>
        </c:rich>
      </c:tx>
      <c:layout/>
      <c:overlay val="0"/>
      <c:spPr>
        <a:solidFill>
          <a:schemeClr val="accent2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'Cleaned Data'!$H$2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'Cleaned Data'!$F$3:$F$42</c:f>
              <c:strCache>
                <c:ptCount val="28"/>
                <c:pt idx="0">
                  <c:v>Texas</c:v>
                </c:pt>
                <c:pt idx="1">
                  <c:v>New York</c:v>
                </c:pt>
                <c:pt idx="2">
                  <c:v>New York</c:v>
                </c:pt>
                <c:pt idx="3">
                  <c:v>Florida</c:v>
                </c:pt>
                <c:pt idx="4">
                  <c:v>Florida</c:v>
                </c:pt>
                <c:pt idx="5">
                  <c:v>Texas</c:v>
                </c:pt>
                <c:pt idx="6">
                  <c:v>Texas</c:v>
                </c:pt>
                <c:pt idx="7">
                  <c:v>Texas</c:v>
                </c:pt>
                <c:pt idx="8">
                  <c:v>Texas</c:v>
                </c:pt>
                <c:pt idx="9">
                  <c:v>Texas</c:v>
                </c:pt>
                <c:pt idx="10">
                  <c:v>Texas</c:v>
                </c:pt>
                <c:pt idx="11">
                  <c:v>Florida</c:v>
                </c:pt>
                <c:pt idx="12">
                  <c:v>California</c:v>
                </c:pt>
                <c:pt idx="13">
                  <c:v>California</c:v>
                </c:pt>
                <c:pt idx="14">
                  <c:v>California</c:v>
                </c:pt>
                <c:pt idx="15">
                  <c:v>California</c:v>
                </c:pt>
                <c:pt idx="16">
                  <c:v>Florida</c:v>
                </c:pt>
                <c:pt idx="17">
                  <c:v>Florida</c:v>
                </c:pt>
                <c:pt idx="18">
                  <c:v>California</c:v>
                </c:pt>
                <c:pt idx="19">
                  <c:v>California</c:v>
                </c:pt>
                <c:pt idx="20">
                  <c:v>California</c:v>
                </c:pt>
                <c:pt idx="21">
                  <c:v>California</c:v>
                </c:pt>
                <c:pt idx="22">
                  <c:v>New York</c:v>
                </c:pt>
                <c:pt idx="23">
                  <c:v>New York</c:v>
                </c:pt>
                <c:pt idx="24">
                  <c:v>New York</c:v>
                </c:pt>
                <c:pt idx="25">
                  <c:v>New York</c:v>
                </c:pt>
                <c:pt idx="26">
                  <c:v>New York</c:v>
                </c:pt>
                <c:pt idx="27">
                  <c:v>New York</c:v>
                </c:pt>
              </c:strCache>
            </c:strRef>
          </c:cat>
          <c:val>
            <c:numRef>
              <c:f>'Cleaned Data'!$H$3:$H$42</c:f>
              <c:numCache>
                <c:formatCode>"$"#,##0_);[Red]\("$"#,##0\)</c:formatCode>
                <c:ptCount val="40"/>
                <c:pt idx="0">
                  <c:v>4500</c:v>
                </c:pt>
                <c:pt idx="1">
                  <c:v>3800</c:v>
                </c:pt>
                <c:pt idx="2">
                  <c:v>3712.5</c:v>
                </c:pt>
                <c:pt idx="3">
                  <c:v>0</c:v>
                </c:pt>
                <c:pt idx="4">
                  <c:v>5000</c:v>
                </c:pt>
                <c:pt idx="5">
                  <c:v>6100</c:v>
                </c:pt>
                <c:pt idx="6">
                  <c:v>4625</c:v>
                </c:pt>
                <c:pt idx="7">
                  <c:v>3800</c:v>
                </c:pt>
                <c:pt idx="8">
                  <c:v>3600</c:v>
                </c:pt>
                <c:pt idx="9">
                  <c:v>5100</c:v>
                </c:pt>
                <c:pt idx="10">
                  <c:v>4750</c:v>
                </c:pt>
                <c:pt idx="11">
                  <c:v>6000</c:v>
                </c:pt>
                <c:pt idx="12">
                  <c:v>4500</c:v>
                </c:pt>
                <c:pt idx="13">
                  <c:v>0</c:v>
                </c:pt>
                <c:pt idx="14">
                  <c:v>3712.5</c:v>
                </c:pt>
                <c:pt idx="15">
                  <c:v>4950</c:v>
                </c:pt>
                <c:pt idx="16">
                  <c:v>4750</c:v>
                </c:pt>
                <c:pt idx="17">
                  <c:v>7320</c:v>
                </c:pt>
                <c:pt idx="18">
                  <c:v>5087.5</c:v>
                </c:pt>
                <c:pt idx="19">
                  <c:v>4500</c:v>
                </c:pt>
                <c:pt idx="20">
                  <c:v>4250</c:v>
                </c:pt>
                <c:pt idx="21">
                  <c:v>5250</c:v>
                </c:pt>
                <c:pt idx="22">
                  <c:v>6500</c:v>
                </c:pt>
                <c:pt idx="23">
                  <c:v>7500</c:v>
                </c:pt>
                <c:pt idx="24">
                  <c:v>5500</c:v>
                </c:pt>
                <c:pt idx="25">
                  <c:v>4625</c:v>
                </c:pt>
                <c:pt idx="26">
                  <c:v>4500</c:v>
                </c:pt>
                <c:pt idx="27">
                  <c:v>5400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F7-41C9-9F72-0A7F1E1F84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58120848"/>
        <c:axId val="858127504"/>
      </c:barChart>
      <c:catAx>
        <c:axId val="8581208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8127504"/>
        <c:crosses val="autoZero"/>
        <c:auto val="1"/>
        <c:lblAlgn val="ctr"/>
        <c:lblOffset val="100"/>
        <c:noMultiLvlLbl val="0"/>
      </c:catAx>
      <c:valAx>
        <c:axId val="858127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_);[Red]\(&quot;$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81208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 Margin vs Revenue</a:t>
            </a:r>
          </a:p>
        </c:rich>
      </c:tx>
      <c:layout>
        <c:manualLayout>
          <c:xMode val="edge"/>
          <c:yMode val="edge"/>
          <c:x val="0.31509011373578305"/>
          <c:y val="3.3050047214353166E-2"/>
        </c:manualLayout>
      </c:layout>
      <c:overlay val="0"/>
      <c:spPr>
        <a:solidFill>
          <a:schemeClr val="accent2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'Cleaned Data'!$J$2</c:f>
              <c:strCache>
                <c:ptCount val="1"/>
                <c:pt idx="0">
                  <c:v>Profit Margin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'Cleaned Data'!$H$3:$H$42</c:f>
              <c:strCache>
                <c:ptCount val="28"/>
                <c:pt idx="0">
                  <c:v>$4,500 </c:v>
                </c:pt>
                <c:pt idx="1">
                  <c:v>$3,800 </c:v>
                </c:pt>
                <c:pt idx="2">
                  <c:v>$3,713 </c:v>
                </c:pt>
                <c:pt idx="3">
                  <c:v>NaN</c:v>
                </c:pt>
                <c:pt idx="4">
                  <c:v>$5,000 </c:v>
                </c:pt>
                <c:pt idx="5">
                  <c:v>$6,100 </c:v>
                </c:pt>
                <c:pt idx="6">
                  <c:v>$4,625 </c:v>
                </c:pt>
                <c:pt idx="7">
                  <c:v>$3,800 </c:v>
                </c:pt>
                <c:pt idx="8">
                  <c:v>$3,600 </c:v>
                </c:pt>
                <c:pt idx="9">
                  <c:v>$5,100 </c:v>
                </c:pt>
                <c:pt idx="10">
                  <c:v>$4,750 </c:v>
                </c:pt>
                <c:pt idx="11">
                  <c:v>$6,000 </c:v>
                </c:pt>
                <c:pt idx="12">
                  <c:v>$4,500 </c:v>
                </c:pt>
                <c:pt idx="13">
                  <c:v>NaN</c:v>
                </c:pt>
                <c:pt idx="14">
                  <c:v>$3,713 </c:v>
                </c:pt>
                <c:pt idx="15">
                  <c:v>$4,950 </c:v>
                </c:pt>
                <c:pt idx="16">
                  <c:v>$4,750 </c:v>
                </c:pt>
                <c:pt idx="17">
                  <c:v>$7,320 </c:v>
                </c:pt>
                <c:pt idx="18">
                  <c:v>$5,088 </c:v>
                </c:pt>
                <c:pt idx="19">
                  <c:v>$4,500 </c:v>
                </c:pt>
                <c:pt idx="20">
                  <c:v>$4,250 </c:v>
                </c:pt>
                <c:pt idx="21">
                  <c:v>$5,250 </c:v>
                </c:pt>
                <c:pt idx="22">
                  <c:v>$6,500 </c:v>
                </c:pt>
                <c:pt idx="23">
                  <c:v>$7,500 </c:v>
                </c:pt>
                <c:pt idx="24">
                  <c:v>$5,500 </c:v>
                </c:pt>
                <c:pt idx="25">
                  <c:v>$4,625 </c:v>
                </c:pt>
                <c:pt idx="26">
                  <c:v>$4,500 </c:v>
                </c:pt>
                <c:pt idx="27">
                  <c:v>$5,400 </c:v>
                </c:pt>
              </c:strCache>
            </c:strRef>
          </c:xVal>
          <c:yVal>
            <c:numRef>
              <c:f>'Cleaned Data'!$J$3:$J$42</c:f>
              <c:numCache>
                <c:formatCode>0.0%</c:formatCode>
                <c:ptCount val="40"/>
                <c:pt idx="0">
                  <c:v>0.13288888888888889</c:v>
                </c:pt>
                <c:pt idx="1">
                  <c:v>0.27500000000000002</c:v>
                </c:pt>
                <c:pt idx="2">
                  <c:v>0.2717845117845118</c:v>
                </c:pt>
                <c:pt idx="3">
                  <c:v>0</c:v>
                </c:pt>
                <c:pt idx="4">
                  <c:v>0.1368</c:v>
                </c:pt>
                <c:pt idx="5">
                  <c:v>8.9180327868852466E-2</c:v>
                </c:pt>
                <c:pt idx="6">
                  <c:v>0.14486486486486486</c:v>
                </c:pt>
                <c:pt idx="7">
                  <c:v>0.53815789473684206</c:v>
                </c:pt>
                <c:pt idx="8">
                  <c:v>0.43444444444444447</c:v>
                </c:pt>
                <c:pt idx="9">
                  <c:v>0.23921568627450981</c:v>
                </c:pt>
                <c:pt idx="10">
                  <c:v>0.30210526315789471</c:v>
                </c:pt>
                <c:pt idx="11">
                  <c:v>0.16633333333333333</c:v>
                </c:pt>
                <c:pt idx="12">
                  <c:v>0.17333333333333334</c:v>
                </c:pt>
                <c:pt idx="13">
                  <c:v>0</c:v>
                </c:pt>
                <c:pt idx="14">
                  <c:v>0.32915824915824915</c:v>
                </c:pt>
                <c:pt idx="15">
                  <c:v>0.21515151515151515</c:v>
                </c:pt>
                <c:pt idx="16">
                  <c:v>0.17052631578947369</c:v>
                </c:pt>
                <c:pt idx="17">
                  <c:v>0.12745901639344262</c:v>
                </c:pt>
                <c:pt idx="18">
                  <c:v>0.12874692874692875</c:v>
                </c:pt>
                <c:pt idx="19">
                  <c:v>0.16044444444444445</c:v>
                </c:pt>
                <c:pt idx="20">
                  <c:v>0.21199999999999999</c:v>
                </c:pt>
                <c:pt idx="21">
                  <c:v>0.25695238095238093</c:v>
                </c:pt>
                <c:pt idx="22">
                  <c:v>0.19815384615384615</c:v>
                </c:pt>
                <c:pt idx="23">
                  <c:v>0.22186666666666666</c:v>
                </c:pt>
                <c:pt idx="24">
                  <c:v>0.24</c:v>
                </c:pt>
                <c:pt idx="25">
                  <c:v>0.21643243243243243</c:v>
                </c:pt>
                <c:pt idx="26">
                  <c:v>0.21333333333333335</c:v>
                </c:pt>
                <c:pt idx="27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434-4249-8F11-DF4E4B6F98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7123312"/>
        <c:axId val="867119568"/>
      </c:scatterChart>
      <c:valAx>
        <c:axId val="8671233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7119568"/>
        <c:crosses val="autoZero"/>
        <c:crossBetween val="midCat"/>
      </c:valAx>
      <c:valAx>
        <c:axId val="867119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71233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609600</xdr:colOff>
      <xdr:row>2</xdr:row>
      <xdr:rowOff>99060</xdr:rowOff>
    </xdr:from>
    <xdr:to>
      <xdr:col>6</xdr:col>
      <xdr:colOff>243840</xdr:colOff>
      <xdr:row>17</xdr:row>
      <xdr:rowOff>53340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171450</xdr:colOff>
      <xdr:row>2</xdr:row>
      <xdr:rowOff>99060</xdr:rowOff>
    </xdr:from>
    <xdr:to>
      <xdr:col>12</xdr:col>
      <xdr:colOff>476250</xdr:colOff>
      <xdr:row>17</xdr:row>
      <xdr:rowOff>53340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396240</xdr:colOff>
      <xdr:row>2</xdr:row>
      <xdr:rowOff>137160</xdr:rowOff>
    </xdr:from>
    <xdr:to>
      <xdr:col>19</xdr:col>
      <xdr:colOff>30480</xdr:colOff>
      <xdr:row>17</xdr:row>
      <xdr:rowOff>91440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335280</xdr:colOff>
      <xdr:row>18</xdr:row>
      <xdr:rowOff>0</xdr:rowOff>
    </xdr:from>
    <xdr:to>
      <xdr:col>13</xdr:col>
      <xdr:colOff>213360</xdr:colOff>
      <xdr:row>31</xdr:row>
      <xdr:rowOff>114300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42"/>
  <sheetViews>
    <sheetView zoomScale="169" workbookViewId="0">
      <selection activeCell="L1" sqref="L1"/>
    </sheetView>
  </sheetViews>
  <sheetFormatPr defaultColWidth="11.19921875" defaultRowHeight="15.6" x14ac:dyDescent="0.3"/>
  <cols>
    <col min="1" max="1" width="6.69921875" customWidth="1"/>
    <col min="2" max="2" width="7.19921875" customWidth="1"/>
    <col min="3" max="3" width="11" customWidth="1"/>
    <col min="6" max="6" width="15" customWidth="1"/>
    <col min="7" max="7" width="6.69921875" customWidth="1"/>
    <col min="9" max="9" width="5.5" customWidth="1"/>
  </cols>
  <sheetData>
    <row r="2" spans="2:9" x14ac:dyDescent="0.3">
      <c r="B2" t="s">
        <v>0</v>
      </c>
      <c r="C2" t="s">
        <v>5</v>
      </c>
      <c r="D2" s="3" t="s">
        <v>1</v>
      </c>
      <c r="E2" s="3" t="s">
        <v>6</v>
      </c>
      <c r="F2" s="3" t="s">
        <v>47</v>
      </c>
      <c r="G2" s="3" t="s">
        <v>2</v>
      </c>
      <c r="H2" s="3" t="s">
        <v>3</v>
      </c>
      <c r="I2" s="3" t="s">
        <v>4</v>
      </c>
    </row>
    <row r="3" spans="2:9" x14ac:dyDescent="0.3">
      <c r="B3" s="4">
        <v>45076</v>
      </c>
      <c r="C3" t="s">
        <v>7</v>
      </c>
      <c r="D3" t="s">
        <v>40</v>
      </c>
      <c r="E3" t="s">
        <v>68</v>
      </c>
      <c r="F3" t="s">
        <v>51</v>
      </c>
      <c r="G3" s="1">
        <v>4500</v>
      </c>
      <c r="H3" s="1">
        <v>598</v>
      </c>
      <c r="I3" s="2">
        <f>H3/G3</f>
        <v>0.13288888888888889</v>
      </c>
    </row>
    <row r="4" spans="2:9" x14ac:dyDescent="0.3">
      <c r="B4" s="4">
        <v>45076</v>
      </c>
      <c r="C4" t="s">
        <v>8</v>
      </c>
      <c r="D4" t="s">
        <v>41</v>
      </c>
      <c r="E4" t="s">
        <v>69</v>
      </c>
      <c r="F4" t="s">
        <v>49</v>
      </c>
      <c r="G4" s="1">
        <v>3800</v>
      </c>
      <c r="H4" s="1">
        <v>1045</v>
      </c>
      <c r="I4" s="2">
        <f t="shared" ref="I4:I33" si="0">H4/G4</f>
        <v>0.27500000000000002</v>
      </c>
    </row>
    <row r="5" spans="2:9" x14ac:dyDescent="0.3">
      <c r="B5" s="4">
        <v>45076</v>
      </c>
      <c r="C5" t="s">
        <v>9</v>
      </c>
      <c r="D5" t="s">
        <v>42</v>
      </c>
      <c r="E5" t="s">
        <v>69</v>
      </c>
      <c r="G5" s="1">
        <v>3712.5</v>
      </c>
      <c r="H5" s="1">
        <v>1009</v>
      </c>
      <c r="I5" s="2">
        <f t="shared" si="0"/>
        <v>0.2717845117845118</v>
      </c>
    </row>
    <row r="6" spans="2:9" x14ac:dyDescent="0.3">
      <c r="B6" s="4">
        <v>45076</v>
      </c>
      <c r="C6" t="s">
        <v>10</v>
      </c>
      <c r="D6" t="s">
        <v>35</v>
      </c>
      <c r="E6" t="s">
        <v>70</v>
      </c>
      <c r="G6" s="1"/>
      <c r="H6" s="1">
        <v>779</v>
      </c>
      <c r="I6" s="2" t="e">
        <f t="shared" si="0"/>
        <v>#DIV/0!</v>
      </c>
    </row>
    <row r="7" spans="2:9" x14ac:dyDescent="0.3">
      <c r="B7" s="4">
        <v>45076</v>
      </c>
      <c r="C7" t="s">
        <v>11</v>
      </c>
      <c r="D7" t="s">
        <v>43</v>
      </c>
      <c r="E7" t="s">
        <v>70</v>
      </c>
      <c r="F7" t="s">
        <v>50</v>
      </c>
      <c r="G7" s="1">
        <v>5000</v>
      </c>
      <c r="H7" s="1">
        <v>684</v>
      </c>
      <c r="I7" s="2">
        <f t="shared" si="0"/>
        <v>0.1368</v>
      </c>
    </row>
    <row r="8" spans="2:9" ht="51" customHeight="1" x14ac:dyDescent="0.3">
      <c r="B8" s="4">
        <v>45077</v>
      </c>
      <c r="C8" t="s">
        <v>12</v>
      </c>
      <c r="D8" t="s">
        <v>44</v>
      </c>
      <c r="E8" t="s">
        <v>68</v>
      </c>
      <c r="F8" t="s">
        <v>51</v>
      </c>
      <c r="G8" s="1">
        <v>6100</v>
      </c>
      <c r="H8" s="1">
        <v>544</v>
      </c>
      <c r="I8" s="2">
        <f t="shared" si="0"/>
        <v>8.9180327868852466E-2</v>
      </c>
    </row>
    <row r="9" spans="2:9" x14ac:dyDescent="0.3">
      <c r="B9" s="4">
        <v>45077</v>
      </c>
      <c r="C9" t="s">
        <v>13</v>
      </c>
      <c r="D9" t="s">
        <v>45</v>
      </c>
      <c r="E9" t="s">
        <v>68</v>
      </c>
      <c r="F9" t="s">
        <v>51</v>
      </c>
      <c r="G9" s="1">
        <v>4625</v>
      </c>
      <c r="H9" s="1">
        <v>670</v>
      </c>
      <c r="I9" s="2">
        <f t="shared" si="0"/>
        <v>0.14486486486486486</v>
      </c>
    </row>
    <row r="10" spans="2:9" x14ac:dyDescent="0.3">
      <c r="B10" s="4">
        <v>45077</v>
      </c>
      <c r="C10" t="s">
        <v>14</v>
      </c>
      <c r="D10" t="s">
        <v>46</v>
      </c>
      <c r="E10" t="s">
        <v>68</v>
      </c>
      <c r="F10" t="s">
        <v>51</v>
      </c>
      <c r="G10" s="1">
        <v>3800</v>
      </c>
      <c r="H10" s="1">
        <v>2045</v>
      </c>
      <c r="I10" s="2">
        <f t="shared" si="0"/>
        <v>0.53815789473684206</v>
      </c>
    </row>
    <row r="11" spans="2:9" x14ac:dyDescent="0.3">
      <c r="B11" s="4">
        <v>45077</v>
      </c>
      <c r="C11" t="s">
        <v>15</v>
      </c>
      <c r="D11" t="s">
        <v>36</v>
      </c>
      <c r="E11" t="s">
        <v>68</v>
      </c>
      <c r="F11" t="s">
        <v>48</v>
      </c>
      <c r="G11" s="1">
        <v>3600</v>
      </c>
      <c r="H11" s="1">
        <v>1564</v>
      </c>
      <c r="I11" s="2">
        <f t="shared" si="0"/>
        <v>0.43444444444444447</v>
      </c>
    </row>
    <row r="12" spans="2:9" ht="43.95" customHeight="1" x14ac:dyDescent="0.3">
      <c r="B12" s="4">
        <v>45077</v>
      </c>
      <c r="C12" t="s">
        <v>16</v>
      </c>
      <c r="D12" t="s">
        <v>37</v>
      </c>
      <c r="E12" t="s">
        <v>68</v>
      </c>
      <c r="F12" t="s">
        <v>50</v>
      </c>
      <c r="G12" s="1">
        <v>5100</v>
      </c>
      <c r="H12" s="1">
        <v>1220</v>
      </c>
      <c r="I12" s="2">
        <f t="shared" si="0"/>
        <v>0.23921568627450981</v>
      </c>
    </row>
    <row r="13" spans="2:9" x14ac:dyDescent="0.3">
      <c r="B13" s="4">
        <v>45077</v>
      </c>
      <c r="C13" t="s">
        <v>17</v>
      </c>
      <c r="D13" t="s">
        <v>52</v>
      </c>
      <c r="E13" t="s">
        <v>68</v>
      </c>
      <c r="F13" t="s">
        <v>50</v>
      </c>
      <c r="G13" s="1">
        <v>4750</v>
      </c>
      <c r="H13" s="1">
        <v>1435</v>
      </c>
      <c r="I13" s="2">
        <f t="shared" si="0"/>
        <v>0.30210526315789471</v>
      </c>
    </row>
    <row r="14" spans="2:9" x14ac:dyDescent="0.3">
      <c r="B14" s="4">
        <v>45077</v>
      </c>
      <c r="C14" t="s">
        <v>18</v>
      </c>
      <c r="D14" t="s">
        <v>53</v>
      </c>
      <c r="E14" t="s">
        <v>70</v>
      </c>
      <c r="F14" t="s">
        <v>51</v>
      </c>
      <c r="G14" s="1">
        <v>6000</v>
      </c>
      <c r="H14" s="1">
        <v>998</v>
      </c>
      <c r="I14" s="2">
        <f t="shared" si="0"/>
        <v>0.16633333333333333</v>
      </c>
    </row>
    <row r="15" spans="2:9" x14ac:dyDescent="0.3">
      <c r="B15" s="4">
        <v>45077</v>
      </c>
      <c r="C15" t="s">
        <v>19</v>
      </c>
      <c r="D15" t="s">
        <v>54</v>
      </c>
      <c r="E15" t="s">
        <v>71</v>
      </c>
      <c r="F15" t="s">
        <v>50</v>
      </c>
      <c r="G15" s="1">
        <v>4500</v>
      </c>
      <c r="H15" s="1">
        <v>780</v>
      </c>
      <c r="I15" s="2">
        <f t="shared" si="0"/>
        <v>0.17333333333333334</v>
      </c>
    </row>
    <row r="16" spans="2:9" x14ac:dyDescent="0.3">
      <c r="B16" s="4">
        <v>45078</v>
      </c>
      <c r="C16" t="s">
        <v>20</v>
      </c>
      <c r="D16" t="s">
        <v>38</v>
      </c>
      <c r="E16" t="s">
        <v>71</v>
      </c>
      <c r="F16" t="s">
        <v>48</v>
      </c>
      <c r="G16" s="1"/>
      <c r="H16" s="1">
        <v>1044</v>
      </c>
      <c r="I16" s="2" t="e">
        <f t="shared" si="0"/>
        <v>#DIV/0!</v>
      </c>
    </row>
    <row r="17" spans="2:9" x14ac:dyDescent="0.3">
      <c r="B17" s="4">
        <v>45078</v>
      </c>
      <c r="C17" t="s">
        <v>21</v>
      </c>
      <c r="D17" t="s">
        <v>55</v>
      </c>
      <c r="E17" t="s">
        <v>71</v>
      </c>
      <c r="F17" t="s">
        <v>51</v>
      </c>
      <c r="G17" s="1">
        <v>3712.5</v>
      </c>
      <c r="H17" s="1">
        <v>1222</v>
      </c>
      <c r="I17" s="2">
        <f t="shared" si="0"/>
        <v>0.32915824915824915</v>
      </c>
    </row>
    <row r="18" spans="2:9" ht="37.950000000000003" customHeight="1" x14ac:dyDescent="0.3">
      <c r="B18" s="4">
        <v>45078</v>
      </c>
      <c r="C18" t="s">
        <v>22</v>
      </c>
      <c r="D18" t="s">
        <v>56</v>
      </c>
      <c r="E18" t="s">
        <v>71</v>
      </c>
      <c r="F18" t="s">
        <v>51</v>
      </c>
      <c r="G18" s="1">
        <v>4950</v>
      </c>
      <c r="H18" s="1">
        <v>1065</v>
      </c>
      <c r="I18" s="2">
        <f t="shared" si="0"/>
        <v>0.21515151515151515</v>
      </c>
    </row>
    <row r="19" spans="2:9" x14ac:dyDescent="0.3">
      <c r="B19" s="4">
        <v>45078</v>
      </c>
      <c r="C19" t="s">
        <v>23</v>
      </c>
      <c r="D19" t="s">
        <v>57</v>
      </c>
      <c r="E19" t="s">
        <v>70</v>
      </c>
      <c r="F19" t="s">
        <v>51</v>
      </c>
      <c r="G19" s="1">
        <v>4750</v>
      </c>
      <c r="H19" s="1">
        <v>810</v>
      </c>
      <c r="I19" s="2">
        <f t="shared" si="0"/>
        <v>0.17052631578947369</v>
      </c>
    </row>
    <row r="20" spans="2:9" ht="12" customHeight="1" x14ac:dyDescent="0.3">
      <c r="B20" s="4">
        <v>45078</v>
      </c>
      <c r="C20" t="s">
        <v>24</v>
      </c>
      <c r="D20" t="s">
        <v>58</v>
      </c>
      <c r="E20" t="s">
        <v>70</v>
      </c>
      <c r="F20" t="s">
        <v>51</v>
      </c>
      <c r="G20" s="1">
        <v>7320</v>
      </c>
      <c r="H20" s="1">
        <v>933</v>
      </c>
      <c r="I20" s="2">
        <f t="shared" si="0"/>
        <v>0.12745901639344262</v>
      </c>
    </row>
    <row r="21" spans="2:9" x14ac:dyDescent="0.3">
      <c r="B21" s="4">
        <v>45077</v>
      </c>
      <c r="C21" t="s">
        <v>18</v>
      </c>
      <c r="D21" t="s">
        <v>53</v>
      </c>
      <c r="E21" t="s">
        <v>70</v>
      </c>
      <c r="F21" t="s">
        <v>51</v>
      </c>
      <c r="G21" s="1">
        <v>6000</v>
      </c>
      <c r="H21" s="1">
        <v>998</v>
      </c>
      <c r="I21" s="2">
        <f t="shared" si="0"/>
        <v>0.16633333333333333</v>
      </c>
    </row>
    <row r="22" spans="2:9" x14ac:dyDescent="0.3">
      <c r="B22" s="4">
        <v>45077</v>
      </c>
      <c r="C22" t="s">
        <v>19</v>
      </c>
      <c r="D22" t="s">
        <v>54</v>
      </c>
      <c r="E22" t="s">
        <v>71</v>
      </c>
      <c r="F22" t="s">
        <v>50</v>
      </c>
      <c r="G22" s="1">
        <v>4500</v>
      </c>
      <c r="H22" s="1">
        <v>780</v>
      </c>
      <c r="I22" s="2">
        <f t="shared" si="0"/>
        <v>0.17333333333333334</v>
      </c>
    </row>
    <row r="23" spans="2:9" ht="7.95" customHeight="1" x14ac:dyDescent="0.3">
      <c r="B23" s="4">
        <v>45078</v>
      </c>
      <c r="C23" t="s">
        <v>25</v>
      </c>
      <c r="D23" t="s">
        <v>59</v>
      </c>
      <c r="E23" t="s">
        <v>71</v>
      </c>
      <c r="F23" t="s">
        <v>51</v>
      </c>
      <c r="G23" s="1">
        <v>5087.5</v>
      </c>
      <c r="H23" s="1">
        <v>655</v>
      </c>
      <c r="I23" s="2">
        <f t="shared" si="0"/>
        <v>0.12874692874692875</v>
      </c>
    </row>
    <row r="24" spans="2:9" ht="96" customHeight="1" x14ac:dyDescent="0.3">
      <c r="B24" s="4">
        <v>45078</v>
      </c>
      <c r="C24" t="s">
        <v>26</v>
      </c>
      <c r="D24" t="s">
        <v>60</v>
      </c>
      <c r="E24" t="s">
        <v>71</v>
      </c>
      <c r="F24" t="s">
        <v>51</v>
      </c>
      <c r="G24" s="1">
        <v>4500</v>
      </c>
      <c r="H24" s="1">
        <v>722</v>
      </c>
      <c r="I24" s="2">
        <f t="shared" si="0"/>
        <v>0.16044444444444445</v>
      </c>
    </row>
    <row r="25" spans="2:9" x14ac:dyDescent="0.3">
      <c r="B25" s="4">
        <v>45078</v>
      </c>
      <c r="C25" t="s">
        <v>27</v>
      </c>
      <c r="D25" t="s">
        <v>61</v>
      </c>
      <c r="E25" t="s">
        <v>71</v>
      </c>
      <c r="F25" t="s">
        <v>48</v>
      </c>
      <c r="G25" s="1">
        <v>4250</v>
      </c>
      <c r="H25" s="1">
        <v>901</v>
      </c>
      <c r="I25" s="2">
        <f t="shared" si="0"/>
        <v>0.21199999999999999</v>
      </c>
    </row>
    <row r="26" spans="2:9" x14ac:dyDescent="0.3">
      <c r="B26" s="4">
        <v>45079</v>
      </c>
      <c r="C26" t="s">
        <v>28</v>
      </c>
      <c r="D26" t="s">
        <v>62</v>
      </c>
      <c r="E26" t="s">
        <v>71</v>
      </c>
      <c r="F26" t="s">
        <v>49</v>
      </c>
      <c r="G26" s="1">
        <v>5250</v>
      </c>
      <c r="H26" s="1">
        <v>1349</v>
      </c>
      <c r="I26" s="2">
        <f t="shared" si="0"/>
        <v>0.25695238095238093</v>
      </c>
    </row>
    <row r="27" spans="2:9" x14ac:dyDescent="0.3">
      <c r="B27" s="4">
        <v>45079</v>
      </c>
      <c r="C27" t="s">
        <v>29</v>
      </c>
      <c r="D27" t="s">
        <v>63</v>
      </c>
      <c r="E27" t="s">
        <v>69</v>
      </c>
      <c r="F27" t="s">
        <v>49</v>
      </c>
      <c r="G27" s="1">
        <v>6500</v>
      </c>
      <c r="H27" s="1">
        <v>1288</v>
      </c>
      <c r="I27" s="2">
        <f t="shared" si="0"/>
        <v>0.19815384615384615</v>
      </c>
    </row>
    <row r="28" spans="2:9" x14ac:dyDescent="0.3">
      <c r="B28" s="4">
        <v>45079</v>
      </c>
      <c r="C28" t="s">
        <v>30</v>
      </c>
      <c r="D28" t="s">
        <v>64</v>
      </c>
      <c r="E28" t="s">
        <v>69</v>
      </c>
      <c r="F28" t="s">
        <v>49</v>
      </c>
      <c r="G28" s="1">
        <v>7500</v>
      </c>
      <c r="H28" s="1">
        <v>1664</v>
      </c>
      <c r="I28" s="2">
        <f t="shared" si="0"/>
        <v>0.22186666666666666</v>
      </c>
    </row>
    <row r="29" spans="2:9" x14ac:dyDescent="0.3">
      <c r="B29" s="4">
        <v>45079</v>
      </c>
      <c r="C29" t="s">
        <v>31</v>
      </c>
      <c r="D29" t="s">
        <v>65</v>
      </c>
      <c r="E29" t="s">
        <v>69</v>
      </c>
      <c r="F29" t="s">
        <v>51</v>
      </c>
      <c r="G29" s="1">
        <v>5500</v>
      </c>
      <c r="H29" s="1">
        <v>1320</v>
      </c>
      <c r="I29" s="2">
        <f t="shared" si="0"/>
        <v>0.24</v>
      </c>
    </row>
    <row r="30" spans="2:9" x14ac:dyDescent="0.3">
      <c r="B30" s="4">
        <v>45079</v>
      </c>
      <c r="C30" t="s">
        <v>32</v>
      </c>
      <c r="D30" t="s">
        <v>66</v>
      </c>
      <c r="E30" t="s">
        <v>69</v>
      </c>
      <c r="F30" t="s">
        <v>51</v>
      </c>
      <c r="G30" s="1">
        <v>4625</v>
      </c>
      <c r="H30" s="1">
        <v>1001</v>
      </c>
      <c r="I30" s="2">
        <f t="shared" si="0"/>
        <v>0.21643243243243243</v>
      </c>
    </row>
    <row r="31" spans="2:9" x14ac:dyDescent="0.3">
      <c r="B31" s="4">
        <v>45079</v>
      </c>
      <c r="C31" t="s">
        <v>33</v>
      </c>
      <c r="D31" t="s">
        <v>67</v>
      </c>
      <c r="E31" t="s">
        <v>69</v>
      </c>
      <c r="F31" t="s">
        <v>51</v>
      </c>
      <c r="G31" s="1">
        <v>4500</v>
      </c>
      <c r="H31" s="1">
        <v>960</v>
      </c>
      <c r="I31" s="2">
        <f t="shared" si="0"/>
        <v>0.21333333333333335</v>
      </c>
    </row>
    <row r="32" spans="2:9" x14ac:dyDescent="0.3">
      <c r="B32" s="4">
        <v>45079</v>
      </c>
      <c r="C32" t="s">
        <v>34</v>
      </c>
      <c r="D32" t="s">
        <v>39</v>
      </c>
      <c r="E32" t="s">
        <v>69</v>
      </c>
      <c r="F32" t="s">
        <v>48</v>
      </c>
      <c r="G32" s="1">
        <v>5400</v>
      </c>
      <c r="H32" s="1">
        <v>540</v>
      </c>
      <c r="I32" s="2">
        <f t="shared" si="0"/>
        <v>0.1</v>
      </c>
    </row>
    <row r="33" spans="2:9" x14ac:dyDescent="0.3">
      <c r="B33" s="4">
        <v>45076</v>
      </c>
      <c r="C33" t="s">
        <v>11</v>
      </c>
      <c r="D33" t="s">
        <v>43</v>
      </c>
      <c r="E33" t="s">
        <v>70</v>
      </c>
      <c r="F33" t="s">
        <v>50</v>
      </c>
      <c r="G33" s="1">
        <v>5000</v>
      </c>
      <c r="H33" s="1">
        <v>684</v>
      </c>
      <c r="I33" s="2">
        <f t="shared" si="0"/>
        <v>0.1368</v>
      </c>
    </row>
    <row r="34" spans="2:9" x14ac:dyDescent="0.3">
      <c r="G34" s="1"/>
    </row>
    <row r="35" spans="2:9" x14ac:dyDescent="0.3">
      <c r="G35" s="1"/>
    </row>
    <row r="36" spans="2:9" x14ac:dyDescent="0.3">
      <c r="G36" s="1"/>
    </row>
    <row r="37" spans="2:9" x14ac:dyDescent="0.3">
      <c r="G37" s="1"/>
    </row>
    <row r="38" spans="2:9" x14ac:dyDescent="0.3">
      <c r="G38" s="1"/>
    </row>
    <row r="39" spans="2:9" x14ac:dyDescent="0.3">
      <c r="G39" s="1"/>
    </row>
    <row r="40" spans="2:9" x14ac:dyDescent="0.3">
      <c r="G40" s="1"/>
    </row>
    <row r="41" spans="2:9" x14ac:dyDescent="0.3">
      <c r="G41" s="1"/>
    </row>
    <row r="42" spans="2:9" x14ac:dyDescent="0.3">
      <c r="G42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42"/>
  <sheetViews>
    <sheetView topLeftCell="B1" zoomScale="130" workbookViewId="0">
      <selection activeCell="K10" sqref="K10"/>
    </sheetView>
  </sheetViews>
  <sheetFormatPr defaultColWidth="11.19921875" defaultRowHeight="15.6" x14ac:dyDescent="0.3"/>
  <cols>
    <col min="1" max="1" width="6.69921875" customWidth="1"/>
    <col min="2" max="2" width="9.5" style="12" customWidth="1"/>
    <col min="3" max="3" width="31.796875" customWidth="1"/>
    <col min="4" max="4" width="17.19921875" style="5" customWidth="1"/>
    <col min="5" max="5" width="17.19921875" style="5" bestFit="1" customWidth="1"/>
    <col min="6" max="6" width="17.19921875" style="5" customWidth="1"/>
    <col min="7" max="7" width="9.5" style="5" customWidth="1"/>
    <col min="8" max="8" width="8.796875" style="5" customWidth="1"/>
    <col min="9" max="9" width="9" style="5" customWidth="1"/>
    <col min="10" max="10" width="11.8984375" style="5" customWidth="1"/>
  </cols>
  <sheetData>
    <row r="2" spans="2:10" s="8" customFormat="1" x14ac:dyDescent="0.3">
      <c r="B2" s="11" t="s">
        <v>0</v>
      </c>
      <c r="C2" s="7" t="s">
        <v>5</v>
      </c>
      <c r="D2" s="6" t="s">
        <v>1</v>
      </c>
      <c r="E2" s="6" t="s">
        <v>6</v>
      </c>
      <c r="F2" s="6" t="s">
        <v>123</v>
      </c>
      <c r="G2" s="6" t="s">
        <v>47</v>
      </c>
      <c r="H2" s="6" t="s">
        <v>2</v>
      </c>
      <c r="I2" s="6" t="s">
        <v>3</v>
      </c>
      <c r="J2" s="6" t="s">
        <v>4</v>
      </c>
    </row>
    <row r="3" spans="2:10" x14ac:dyDescent="0.3">
      <c r="B3" s="12">
        <v>45076</v>
      </c>
      <c r="C3" t="s">
        <v>72</v>
      </c>
      <c r="D3" s="5" t="s">
        <v>100</v>
      </c>
      <c r="E3" s="5" t="s">
        <v>124</v>
      </c>
      <c r="F3" s="5" t="s">
        <v>125</v>
      </c>
      <c r="G3" s="5" t="s">
        <v>51</v>
      </c>
      <c r="H3" s="9">
        <v>4500</v>
      </c>
      <c r="I3" s="9">
        <v>598</v>
      </c>
      <c r="J3" s="10">
        <f t="shared" ref="J3:J30" si="0">IFERROR(I3/H3,"NaN")</f>
        <v>0.13288888888888889</v>
      </c>
    </row>
    <row r="4" spans="2:10" x14ac:dyDescent="0.3">
      <c r="B4" s="12">
        <v>45076</v>
      </c>
      <c r="C4" t="s">
        <v>73</v>
      </c>
      <c r="D4" s="5" t="s">
        <v>101</v>
      </c>
      <c r="E4" s="5" t="s">
        <v>126</v>
      </c>
      <c r="F4" s="5" t="s">
        <v>127</v>
      </c>
      <c r="G4" s="5" t="s">
        <v>49</v>
      </c>
      <c r="H4" s="9">
        <v>3800</v>
      </c>
      <c r="I4" s="9">
        <v>1045</v>
      </c>
      <c r="J4" s="10">
        <f t="shared" si="0"/>
        <v>0.27500000000000002</v>
      </c>
    </row>
    <row r="5" spans="2:10" x14ac:dyDescent="0.3">
      <c r="B5" s="12">
        <v>45076</v>
      </c>
      <c r="C5" t="s">
        <v>74</v>
      </c>
      <c r="D5" s="5" t="s">
        <v>102</v>
      </c>
      <c r="E5" s="5" t="s">
        <v>126</v>
      </c>
      <c r="F5" s="5" t="s">
        <v>127</v>
      </c>
      <c r="G5" s="5" t="s">
        <v>132</v>
      </c>
      <c r="H5" s="9">
        <v>3712.5</v>
      </c>
      <c r="I5" s="9">
        <v>1009</v>
      </c>
      <c r="J5" s="10">
        <f t="shared" si="0"/>
        <v>0.2717845117845118</v>
      </c>
    </row>
    <row r="6" spans="2:10" x14ac:dyDescent="0.3">
      <c r="B6" s="12">
        <v>45076</v>
      </c>
      <c r="C6" t="s">
        <v>75</v>
      </c>
      <c r="D6" s="5" t="s">
        <v>35</v>
      </c>
      <c r="E6" s="5" t="s">
        <v>128</v>
      </c>
      <c r="F6" s="5" t="s">
        <v>129</v>
      </c>
      <c r="G6" s="5" t="s">
        <v>132</v>
      </c>
      <c r="H6" s="9" t="s">
        <v>133</v>
      </c>
      <c r="I6" s="9">
        <v>779</v>
      </c>
      <c r="J6" s="10" t="str">
        <f t="shared" si="0"/>
        <v>NaN</v>
      </c>
    </row>
    <row r="7" spans="2:10" x14ac:dyDescent="0.3">
      <c r="B7" s="12">
        <v>45076</v>
      </c>
      <c r="C7" t="s">
        <v>76</v>
      </c>
      <c r="D7" s="5" t="s">
        <v>103</v>
      </c>
      <c r="E7" s="5" t="s">
        <v>128</v>
      </c>
      <c r="F7" s="5" t="s">
        <v>129</v>
      </c>
      <c r="G7" s="5" t="s">
        <v>50</v>
      </c>
      <c r="H7" s="9">
        <v>5000</v>
      </c>
      <c r="I7" s="9">
        <v>684</v>
      </c>
      <c r="J7" s="10">
        <f t="shared" si="0"/>
        <v>0.1368</v>
      </c>
    </row>
    <row r="8" spans="2:10" x14ac:dyDescent="0.3">
      <c r="B8" s="12">
        <v>45077</v>
      </c>
      <c r="C8" t="s">
        <v>77</v>
      </c>
      <c r="D8" s="5" t="s">
        <v>104</v>
      </c>
      <c r="E8" s="5" t="s">
        <v>124</v>
      </c>
      <c r="F8" s="5" t="s">
        <v>125</v>
      </c>
      <c r="G8" s="5" t="s">
        <v>51</v>
      </c>
      <c r="H8" s="9">
        <v>6100</v>
      </c>
      <c r="I8" s="9">
        <v>544</v>
      </c>
      <c r="J8" s="10">
        <f t="shared" si="0"/>
        <v>8.9180327868852466E-2</v>
      </c>
    </row>
    <row r="9" spans="2:10" x14ac:dyDescent="0.3">
      <c r="B9" s="12">
        <v>45077</v>
      </c>
      <c r="C9" t="s">
        <v>78</v>
      </c>
      <c r="D9" s="5" t="s">
        <v>105</v>
      </c>
      <c r="E9" s="5" t="s">
        <v>124</v>
      </c>
      <c r="F9" s="5" t="s">
        <v>125</v>
      </c>
      <c r="G9" s="5" t="s">
        <v>51</v>
      </c>
      <c r="H9" s="9">
        <v>4625</v>
      </c>
      <c r="I9" s="9">
        <v>670</v>
      </c>
      <c r="J9" s="10">
        <f t="shared" si="0"/>
        <v>0.14486486486486486</v>
      </c>
    </row>
    <row r="10" spans="2:10" x14ac:dyDescent="0.3">
      <c r="B10" s="12">
        <v>45077</v>
      </c>
      <c r="C10" t="s">
        <v>79</v>
      </c>
      <c r="D10" s="5" t="s">
        <v>106</v>
      </c>
      <c r="E10" s="5" t="s">
        <v>124</v>
      </c>
      <c r="F10" s="5" t="s">
        <v>125</v>
      </c>
      <c r="G10" s="5" t="s">
        <v>51</v>
      </c>
      <c r="H10" s="9">
        <v>3800</v>
      </c>
      <c r="I10" s="9">
        <v>2045</v>
      </c>
      <c r="J10" s="10">
        <f t="shared" si="0"/>
        <v>0.53815789473684206</v>
      </c>
    </row>
    <row r="11" spans="2:10" x14ac:dyDescent="0.3">
      <c r="B11" s="12">
        <v>45077</v>
      </c>
      <c r="C11" t="s">
        <v>80</v>
      </c>
      <c r="D11" s="5" t="s">
        <v>36</v>
      </c>
      <c r="E11" s="5" t="s">
        <v>124</v>
      </c>
      <c r="F11" s="5" t="s">
        <v>125</v>
      </c>
      <c r="G11" s="5" t="s">
        <v>48</v>
      </c>
      <c r="H11" s="9">
        <v>3600</v>
      </c>
      <c r="I11" s="9">
        <v>1564</v>
      </c>
      <c r="J11" s="10">
        <f t="shared" si="0"/>
        <v>0.43444444444444447</v>
      </c>
    </row>
    <row r="12" spans="2:10" x14ac:dyDescent="0.3">
      <c r="B12" s="12">
        <v>45077</v>
      </c>
      <c r="C12" t="s">
        <v>81</v>
      </c>
      <c r="D12" s="5" t="s">
        <v>37</v>
      </c>
      <c r="E12" s="5" t="s">
        <v>124</v>
      </c>
      <c r="F12" s="5" t="s">
        <v>125</v>
      </c>
      <c r="G12" s="5" t="s">
        <v>50</v>
      </c>
      <c r="H12" s="9">
        <v>5100</v>
      </c>
      <c r="I12" s="9">
        <v>1220</v>
      </c>
      <c r="J12" s="10">
        <f t="shared" si="0"/>
        <v>0.23921568627450981</v>
      </c>
    </row>
    <row r="13" spans="2:10" x14ac:dyDescent="0.3">
      <c r="B13" s="12">
        <v>45077</v>
      </c>
      <c r="C13" t="s">
        <v>82</v>
      </c>
      <c r="D13" s="5" t="s">
        <v>107</v>
      </c>
      <c r="E13" s="5" t="s">
        <v>124</v>
      </c>
      <c r="F13" s="5" t="s">
        <v>125</v>
      </c>
      <c r="G13" s="5" t="s">
        <v>50</v>
      </c>
      <c r="H13" s="9">
        <v>4750</v>
      </c>
      <c r="I13" s="9">
        <v>1435</v>
      </c>
      <c r="J13" s="10">
        <f t="shared" si="0"/>
        <v>0.30210526315789471</v>
      </c>
    </row>
    <row r="14" spans="2:10" x14ac:dyDescent="0.3">
      <c r="B14" s="12">
        <v>45077</v>
      </c>
      <c r="C14" t="s">
        <v>83</v>
      </c>
      <c r="D14" s="5" t="s">
        <v>108</v>
      </c>
      <c r="E14" s="5" t="s">
        <v>128</v>
      </c>
      <c r="F14" s="5" t="s">
        <v>129</v>
      </c>
      <c r="G14" s="5" t="s">
        <v>51</v>
      </c>
      <c r="H14" s="9">
        <v>6000</v>
      </c>
      <c r="I14" s="9">
        <v>998</v>
      </c>
      <c r="J14" s="10">
        <f t="shared" si="0"/>
        <v>0.16633333333333333</v>
      </c>
    </row>
    <row r="15" spans="2:10" x14ac:dyDescent="0.3">
      <c r="B15" s="12">
        <v>45077</v>
      </c>
      <c r="C15" t="s">
        <v>84</v>
      </c>
      <c r="D15" s="5" t="s">
        <v>109</v>
      </c>
      <c r="E15" s="5" t="s">
        <v>130</v>
      </c>
      <c r="F15" s="5" t="s">
        <v>131</v>
      </c>
      <c r="G15" s="5" t="s">
        <v>50</v>
      </c>
      <c r="H15" s="9">
        <v>4500</v>
      </c>
      <c r="I15" s="9">
        <v>780</v>
      </c>
      <c r="J15" s="10">
        <f t="shared" si="0"/>
        <v>0.17333333333333334</v>
      </c>
    </row>
    <row r="16" spans="2:10" x14ac:dyDescent="0.3">
      <c r="B16" s="12">
        <v>45078</v>
      </c>
      <c r="C16" t="s">
        <v>85</v>
      </c>
      <c r="D16" s="5" t="s">
        <v>38</v>
      </c>
      <c r="E16" s="5" t="s">
        <v>130</v>
      </c>
      <c r="F16" s="5" t="s">
        <v>131</v>
      </c>
      <c r="G16" s="5" t="s">
        <v>48</v>
      </c>
      <c r="H16" s="9" t="s">
        <v>133</v>
      </c>
      <c r="I16" s="9">
        <v>1044</v>
      </c>
      <c r="J16" s="10" t="str">
        <f t="shared" si="0"/>
        <v>NaN</v>
      </c>
    </row>
    <row r="17" spans="2:10" x14ac:dyDescent="0.3">
      <c r="B17" s="12">
        <v>45078</v>
      </c>
      <c r="C17" t="s">
        <v>86</v>
      </c>
      <c r="D17" s="5" t="s">
        <v>110</v>
      </c>
      <c r="E17" s="5" t="s">
        <v>130</v>
      </c>
      <c r="F17" s="5" t="s">
        <v>131</v>
      </c>
      <c r="G17" s="5" t="s">
        <v>51</v>
      </c>
      <c r="H17" s="9">
        <v>3712.5</v>
      </c>
      <c r="I17" s="9">
        <v>1222</v>
      </c>
      <c r="J17" s="10">
        <f t="shared" si="0"/>
        <v>0.32915824915824915</v>
      </c>
    </row>
    <row r="18" spans="2:10" x14ac:dyDescent="0.3">
      <c r="B18" s="12">
        <v>45078</v>
      </c>
      <c r="C18" t="s">
        <v>87</v>
      </c>
      <c r="D18" s="5" t="s">
        <v>111</v>
      </c>
      <c r="E18" s="5" t="s">
        <v>130</v>
      </c>
      <c r="F18" s="5" t="s">
        <v>131</v>
      </c>
      <c r="G18" s="5" t="s">
        <v>51</v>
      </c>
      <c r="H18" s="9">
        <v>4950</v>
      </c>
      <c r="I18" s="9">
        <v>1065</v>
      </c>
      <c r="J18" s="10">
        <f t="shared" si="0"/>
        <v>0.21515151515151515</v>
      </c>
    </row>
    <row r="19" spans="2:10" x14ac:dyDescent="0.3">
      <c r="B19" s="12">
        <v>45078</v>
      </c>
      <c r="C19" t="s">
        <v>88</v>
      </c>
      <c r="D19" s="5" t="s">
        <v>112</v>
      </c>
      <c r="E19" s="5" t="s">
        <v>128</v>
      </c>
      <c r="F19" s="5" t="s">
        <v>129</v>
      </c>
      <c r="G19" s="5" t="s">
        <v>51</v>
      </c>
      <c r="H19" s="9">
        <v>4750</v>
      </c>
      <c r="I19" s="9">
        <v>810</v>
      </c>
      <c r="J19" s="10">
        <f t="shared" si="0"/>
        <v>0.17052631578947369</v>
      </c>
    </row>
    <row r="20" spans="2:10" x14ac:dyDescent="0.3">
      <c r="B20" s="12">
        <v>45078</v>
      </c>
      <c r="C20" t="s">
        <v>89</v>
      </c>
      <c r="D20" s="5" t="s">
        <v>113</v>
      </c>
      <c r="E20" s="5" t="s">
        <v>128</v>
      </c>
      <c r="F20" s="5" t="s">
        <v>129</v>
      </c>
      <c r="G20" s="5" t="s">
        <v>51</v>
      </c>
      <c r="H20" s="9">
        <v>7320</v>
      </c>
      <c r="I20" s="9">
        <v>933</v>
      </c>
      <c r="J20" s="10">
        <f t="shared" si="0"/>
        <v>0.12745901639344262</v>
      </c>
    </row>
    <row r="21" spans="2:10" x14ac:dyDescent="0.3">
      <c r="B21" s="12">
        <v>45078</v>
      </c>
      <c r="C21" t="s">
        <v>90</v>
      </c>
      <c r="D21" s="5" t="s">
        <v>114</v>
      </c>
      <c r="E21" s="5" t="s">
        <v>130</v>
      </c>
      <c r="F21" s="5" t="s">
        <v>131</v>
      </c>
      <c r="G21" s="5" t="s">
        <v>51</v>
      </c>
      <c r="H21" s="9">
        <v>5087.5</v>
      </c>
      <c r="I21" s="9">
        <v>655</v>
      </c>
      <c r="J21" s="10">
        <f t="shared" si="0"/>
        <v>0.12874692874692875</v>
      </c>
    </row>
    <row r="22" spans="2:10" x14ac:dyDescent="0.3">
      <c r="B22" s="12">
        <v>45078</v>
      </c>
      <c r="C22" t="s">
        <v>91</v>
      </c>
      <c r="D22" s="5" t="s">
        <v>115</v>
      </c>
      <c r="E22" s="5" t="s">
        <v>130</v>
      </c>
      <c r="F22" s="5" t="s">
        <v>131</v>
      </c>
      <c r="G22" s="5" t="s">
        <v>51</v>
      </c>
      <c r="H22" s="9">
        <v>4500</v>
      </c>
      <c r="I22" s="9">
        <v>722</v>
      </c>
      <c r="J22" s="10">
        <f t="shared" si="0"/>
        <v>0.16044444444444445</v>
      </c>
    </row>
    <row r="23" spans="2:10" x14ac:dyDescent="0.3">
      <c r="B23" s="12">
        <v>45078</v>
      </c>
      <c r="C23" t="s">
        <v>92</v>
      </c>
      <c r="D23" s="5" t="s">
        <v>116</v>
      </c>
      <c r="E23" s="5" t="s">
        <v>130</v>
      </c>
      <c r="F23" s="5" t="s">
        <v>131</v>
      </c>
      <c r="G23" s="5" t="s">
        <v>48</v>
      </c>
      <c r="H23" s="9">
        <v>4250</v>
      </c>
      <c r="I23" s="9">
        <v>901</v>
      </c>
      <c r="J23" s="10">
        <f t="shared" si="0"/>
        <v>0.21199999999999999</v>
      </c>
    </row>
    <row r="24" spans="2:10" x14ac:dyDescent="0.3">
      <c r="B24" s="12">
        <v>45079</v>
      </c>
      <c r="C24" t="s">
        <v>93</v>
      </c>
      <c r="D24" s="5" t="s">
        <v>117</v>
      </c>
      <c r="E24" s="5" t="s">
        <v>130</v>
      </c>
      <c r="F24" s="5" t="s">
        <v>131</v>
      </c>
      <c r="G24" s="5" t="s">
        <v>49</v>
      </c>
      <c r="H24" s="9">
        <v>5250</v>
      </c>
      <c r="I24" s="9">
        <v>1349</v>
      </c>
      <c r="J24" s="10">
        <f t="shared" si="0"/>
        <v>0.25695238095238093</v>
      </c>
    </row>
    <row r="25" spans="2:10" x14ac:dyDescent="0.3">
      <c r="B25" s="12">
        <v>45079</v>
      </c>
      <c r="C25" t="s">
        <v>94</v>
      </c>
      <c r="D25" s="5" t="s">
        <v>118</v>
      </c>
      <c r="E25" s="5" t="s">
        <v>126</v>
      </c>
      <c r="F25" s="5" t="s">
        <v>127</v>
      </c>
      <c r="G25" s="5" t="s">
        <v>49</v>
      </c>
      <c r="H25" s="9">
        <v>6500</v>
      </c>
      <c r="I25" s="9">
        <v>1288</v>
      </c>
      <c r="J25" s="10">
        <f t="shared" si="0"/>
        <v>0.19815384615384615</v>
      </c>
    </row>
    <row r="26" spans="2:10" x14ac:dyDescent="0.3">
      <c r="B26" s="12">
        <v>45079</v>
      </c>
      <c r="C26" t="s">
        <v>95</v>
      </c>
      <c r="D26" s="5" t="s">
        <v>119</v>
      </c>
      <c r="E26" s="5" t="s">
        <v>126</v>
      </c>
      <c r="F26" s="5" t="s">
        <v>127</v>
      </c>
      <c r="G26" s="5" t="s">
        <v>49</v>
      </c>
      <c r="H26" s="9">
        <v>7500</v>
      </c>
      <c r="I26" s="9">
        <v>1664</v>
      </c>
      <c r="J26" s="10">
        <f t="shared" si="0"/>
        <v>0.22186666666666666</v>
      </c>
    </row>
    <row r="27" spans="2:10" x14ac:dyDescent="0.3">
      <c r="B27" s="12">
        <v>45079</v>
      </c>
      <c r="C27" t="s">
        <v>96</v>
      </c>
      <c r="D27" s="5" t="s">
        <v>120</v>
      </c>
      <c r="E27" s="5" t="s">
        <v>126</v>
      </c>
      <c r="F27" s="5" t="s">
        <v>127</v>
      </c>
      <c r="G27" s="5" t="s">
        <v>51</v>
      </c>
      <c r="H27" s="9">
        <v>5500</v>
      </c>
      <c r="I27" s="9">
        <v>1320</v>
      </c>
      <c r="J27" s="10">
        <f t="shared" si="0"/>
        <v>0.24</v>
      </c>
    </row>
    <row r="28" spans="2:10" x14ac:dyDescent="0.3">
      <c r="B28" s="12">
        <v>45079</v>
      </c>
      <c r="C28" t="s">
        <v>97</v>
      </c>
      <c r="D28" s="5" t="s">
        <v>121</v>
      </c>
      <c r="E28" s="5" t="s">
        <v>126</v>
      </c>
      <c r="F28" s="5" t="s">
        <v>127</v>
      </c>
      <c r="G28" s="5" t="s">
        <v>51</v>
      </c>
      <c r="H28" s="9">
        <v>4625</v>
      </c>
      <c r="I28" s="9">
        <v>1001</v>
      </c>
      <c r="J28" s="10">
        <f t="shared" si="0"/>
        <v>0.21643243243243243</v>
      </c>
    </row>
    <row r="29" spans="2:10" x14ac:dyDescent="0.3">
      <c r="B29" s="12">
        <v>45079</v>
      </c>
      <c r="C29" t="s">
        <v>98</v>
      </c>
      <c r="D29" s="5" t="s">
        <v>122</v>
      </c>
      <c r="E29" s="5" t="s">
        <v>126</v>
      </c>
      <c r="F29" s="5" t="s">
        <v>127</v>
      </c>
      <c r="G29" s="5" t="s">
        <v>51</v>
      </c>
      <c r="H29" s="9">
        <v>4500</v>
      </c>
      <c r="I29" s="9">
        <v>960</v>
      </c>
      <c r="J29" s="10">
        <f t="shared" si="0"/>
        <v>0.21333333333333335</v>
      </c>
    </row>
    <row r="30" spans="2:10" x14ac:dyDescent="0.3">
      <c r="B30" s="12">
        <v>45079</v>
      </c>
      <c r="C30" t="s">
        <v>99</v>
      </c>
      <c r="D30" s="5" t="s">
        <v>39</v>
      </c>
      <c r="E30" s="5" t="s">
        <v>126</v>
      </c>
      <c r="F30" s="5" t="s">
        <v>127</v>
      </c>
      <c r="G30" s="5" t="s">
        <v>48</v>
      </c>
      <c r="H30" s="9">
        <v>5400</v>
      </c>
      <c r="I30" s="9">
        <v>540</v>
      </c>
      <c r="J30" s="10">
        <f t="shared" si="0"/>
        <v>0.1</v>
      </c>
    </row>
    <row r="31" spans="2:10" x14ac:dyDescent="0.3">
      <c r="B31" s="13"/>
    </row>
    <row r="32" spans="2:10" x14ac:dyDescent="0.3">
      <c r="B32" s="13"/>
    </row>
    <row r="33" spans="2:8" x14ac:dyDescent="0.3">
      <c r="B33" s="13"/>
    </row>
    <row r="34" spans="2:8" x14ac:dyDescent="0.3">
      <c r="H34" s="9"/>
    </row>
    <row r="35" spans="2:8" x14ac:dyDescent="0.3">
      <c r="H35" s="9"/>
    </row>
    <row r="36" spans="2:8" x14ac:dyDescent="0.3">
      <c r="H36" s="9"/>
    </row>
    <row r="37" spans="2:8" x14ac:dyDescent="0.3">
      <c r="H37" s="9"/>
    </row>
    <row r="38" spans="2:8" x14ac:dyDescent="0.3">
      <c r="H38" s="9"/>
    </row>
    <row r="39" spans="2:8" x14ac:dyDescent="0.3">
      <c r="H39" s="9"/>
    </row>
    <row r="40" spans="2:8" x14ac:dyDescent="0.3">
      <c r="H40" s="9"/>
    </row>
    <row r="41" spans="2:8" x14ac:dyDescent="0.3">
      <c r="H41" s="9"/>
    </row>
    <row r="42" spans="2:8" x14ac:dyDescent="0.3">
      <c r="H42" s="9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tabSelected="1" workbookViewId="0">
      <selection activeCell="Q26" sqref="Q26"/>
    </sheetView>
  </sheetViews>
  <sheetFormatPr defaultRowHeight="15.6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Data</vt:lpstr>
      <vt:lpstr>Cleaned Data</vt:lpstr>
      <vt:lpstr>Visualisation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Anurag Krishna</cp:lastModifiedBy>
  <dcterms:created xsi:type="dcterms:W3CDTF">2023-05-29T07:26:35Z</dcterms:created>
  <dcterms:modified xsi:type="dcterms:W3CDTF">2026-04-07T12:00:47Z</dcterms:modified>
</cp:coreProperties>
</file>